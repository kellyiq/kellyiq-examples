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filterPrivacy="1" defaultThemeVersion="202300"/>
  <xr:revisionPtr revIDLastSave="0" documentId="8_{BAAF0AB0-A6BB-49B2-821F-F6BA727BDBC2}" xr6:coauthVersionLast="47" xr6:coauthVersionMax="47" xr10:uidLastSave="{00000000-0000-0000-0000-000000000000}"/>
  <bookViews>
    <workbookView xWindow="-120" yWindow="-120" windowWidth="29040" windowHeight="15720" xr2:uid="{3100A0AF-AA25-43EE-9E70-0BF3ED9D765F}"/>
  </bookViews>
  <sheets>
    <sheet name="Start here" sheetId="1" r:id="rId1"/>
    <sheet name="Slate" sheetId="2" r:id="rId2"/>
    <sheet name="Stakes" sheetId="3" r:id="rId3"/>
    <sheet name="Settings" sheetId="4" r:id="rId4"/>
  </sheets>
  <definedNames>
    <definedName name="Bankroll">Slate!$B$1</definedName>
    <definedName name="ExternalData_1" localSheetId="2" hidden="1">Stakes!$A$1:$A$2</definedName>
    <definedName name="KeyFile">Settings!$B$1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" i="2" l="1"/>
  <c r="G1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D424AD-7312-4CC8-897C-2C8B505B4018}" keepAlive="1" name="Connection" type="5" refreshedVersion="0" saveData="1">
    <dbPr connection="Provider=Microsoft.Mashup.OleDb.1;Data Source=$Workbook$;Location=Stakes;Extended Properties=&quot;&quot;" command="SELECT * FROM [Stakes]"/>
  </connection>
</connections>
</file>

<file path=xl/sharedStrings.xml><?xml version="1.0" encoding="utf-8"?>
<sst xmlns="http://schemas.openxmlformats.org/spreadsheetml/2006/main" count="50" uniqueCount="45">
  <si>
    <t>KellyIQ: size your slate in Excel</t>
  </si>
  <si>
    <t>Enter your bankroll and your bets on the Slate sheet, then Data &gt; Refresh All. KellyIQ returns a stake for every bet on the Stakes sheet, sized across the whole slate.</t>
  </si>
  <si>
    <t>One-time setup</t>
  </si>
  <si>
    <t>1. Create an API key in the KellyIQ app: Settings &gt; API (every plan, Free included). https://app.kellyiq.com/settings</t>
  </si>
  <si>
    <t>2. Save the key in a plain text file in your own user folder, for example C:\Users\YOUR-NAME\kellyiq-key.txt. Keep it out of shared or synced folders.</t>
  </si>
  <si>
    <t>3. On the Settings sheet, enter that file's full path.</t>
  </si>
  <si>
    <t>4. If Excel shows a yellow bar, click Enable Content. The first time, Excel may ask how to connect to api.kellyiq.com: choose Anonymous and Connect (your key is sent from the file). If it ever asks about any other address, click Cancel.</t>
  </si>
  <si>
    <t>Each time</t>
  </si>
  <si>
    <t>Fill in the Slate sheet: one row per bet, with both sides' prices. Then Data &gt; Refresh All. Each refresh uses one optimize from your daily allowance. Free sizes up to 3 bets per slate, Bettor 12, Sharp and Pro 50.</t>
  </si>
  <si>
    <t>Your key is never stored in this workbook, so sharing your copy doesn't share your key. Never paste the key into a cell.</t>
  </si>
  <si>
    <t>Only use a workbook downloaded from the KellyIQ examples repository (github.com/kellyiq/kellyiq-examples). A workbook from someone else can contain a changed query that sends your key elsewhere.</t>
  </si>
  <si>
    <t>If refreshing says 'The credentials provided for the Web source are invalid', the key in your file is wrong or was regenerated: create a new one in the app and save it in the file.</t>
  </si>
  <si>
    <t>Works in Excel for Windows (Microsoft 365, or Excel 2021 or later). Excel for Mac and Excel for the web are not supported.</t>
  </si>
  <si>
    <t>KellyIQ sizes the bets you choose. It does not choose bets or predict outcomes, and its results are calculations, not betting advice. 21+, where legal.</t>
  </si>
  <si>
    <t>Guide: https://www.kellyiq.com/developers/excel</t>
  </si>
  <si>
    <t>Bankroll</t>
  </si>
  <si>
    <t>Total stake</t>
  </si>
  <si>
    <t>Share of bankroll</t>
  </si>
  <si>
    <t>Data &gt; Refresh All sizes this slate; the result is on the Stakes sheet. Each refresh uses one optimize.</t>
  </si>
  <si>
    <t>Sport</t>
  </si>
  <si>
    <t>Team</t>
  </si>
  <si>
    <t>Opponent</t>
  </si>
  <si>
    <t>Bet</t>
  </si>
  <si>
    <t>Line</t>
  </si>
  <si>
    <t>Odds</t>
  </si>
  <si>
    <t>Other side odds</t>
  </si>
  <si>
    <t>Your view</t>
  </si>
  <si>
    <t>baseball_mlb</t>
  </si>
  <si>
    <t>Dodgers</t>
  </si>
  <si>
    <t>Padres</t>
  </si>
  <si>
    <t>Moneyline</t>
  </si>
  <si>
    <t>Moderate edge</t>
  </si>
  <si>
    <t>Cubs</t>
  </si>
  <si>
    <t>Cardinals</t>
  </si>
  <si>
    <t>Mets</t>
  </si>
  <si>
    <t>Braves</t>
  </si>
  <si>
    <t>No edge (market price)</t>
  </si>
  <si>
    <t>Odds: American odds for your side, such as -145 or +120. Other side odds: the opposite side of the same market, so the bookmaker's margin can be removed.</t>
  </si>
  <si>
    <t>Bet: Moneyline, Spread, Over or Under. Line: the spread from your team's side (-1.5 means your team must win by 2 or more), or the total. Leave it empty for moneylines.</t>
  </si>
  <si>
    <t>Your view: how much more likely you think your side is to win than the fair price says. Strong edge needs the Bettor plan or higher.</t>
  </si>
  <si>
    <t>Sport: only sports in season can be sized. Add rows by typing under the table. Free sizes up to 3 bets per slate, Bettor 12, Sharp and Pro 50.</t>
  </si>
  <si>
    <t>Key file</t>
  </si>
  <si>
    <t>C:\Users\YOUR-NAME\kellyiq-key.txt</t>
  </si>
  <si>
    <t>The full path of a text file that holds only your API key. The key itself never goes in this workbook.</t>
  </si>
  <si>
    <t>ExternalData_1: Getting Data 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</si>
</sst>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64" fontId="0" fillId="0" borderId="0" xfId="0" applyNumberFormat="1"/>
    <xf numFmtId="165" fontId="0" fillId="0" borderId="0" xfId="0" applyNumberFormat="1"/>
    <xf numFmtId="0" fontId="3" fillId="0" borderId="0" xfId="0" applyFont="1"/>
  </cellXfs>
  <cellStyles count="1">
    <cellStyle name="Normal" xfId="0" builtinId="0"/>
  </cellStyles>
  <dxfs count="3">
    <dxf>
      <numFmt numFmtId="166" formatCode="0.000"/>
    </dxf>
    <dxf>
      <numFmt numFmtId="165" formatCode="0.0%"/>
    </dxf>
    <dxf>
      <numFmt numFmtId="164" formatCode="&quot;$&quot;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growShrinkType="overwriteClear" intermediate="1" connectionId="1" xr16:uid="{11DD6648-6DF4-4D52-A084-C3D2DBD400C1}" autoFormatId="16" applyNumberFormats="0" applyBorderFormats="0" applyFontFormats="1" applyPatternFormats="1" applyAlignmentFormats="0" applyWidthHeightFormats="0">
  <queryTableRefresh nextId="2">
    <queryTableFields count="1">
      <queryTableField id="1" name="ExternalData_1: Getting Data ..." tableColumnId="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B934DA-DC15-4B5F-B33E-EAE152BAE5D5}" name="Slate" displayName="Slate" ref="A3:H6" totalsRowShown="0">
  <autoFilter ref="A3:H6" xr:uid="{4BB934DA-DC15-4B5F-B33E-EAE152BAE5D5}"/>
  <tableColumns count="8">
    <tableColumn id="1" xr3:uid="{849DD522-707F-41D4-A108-31D6A4E332F5}" name="Sport"/>
    <tableColumn id="2" xr3:uid="{E2E45931-0C8A-43AC-AC03-843EE10C6BC3}" name="Team"/>
    <tableColumn id="3" xr3:uid="{EB368EC5-53A0-4166-98E5-C9B9611A773E}" name="Opponent"/>
    <tableColumn id="4" xr3:uid="{B703A6CA-218D-4561-8F03-E2D136AF5147}" name="Bet"/>
    <tableColumn id="5" xr3:uid="{59D50D6E-0C47-4278-82C5-D264D9D70ECD}" name="Line"/>
    <tableColumn id="6" xr3:uid="{79E471C7-8182-4F7D-9105-B320D6394445}" name="Odds"/>
    <tableColumn id="7" xr3:uid="{69316ED7-3A34-44AA-99D0-20AA77DA5AAF}" name="Other side odds"/>
    <tableColumn id="8" xr3:uid="{A5A9A393-731B-49AA-96AA-5D98C78FF2E5}" name="Your view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3A03A9D-5FC5-4B60-9155-E5D60C35704A}" name="StakesResult" displayName="StakesResult" ref="A1:A2" tableType="queryTable" insertRow="1" insertRowShift="1" totalsRowShown="0">
  <autoFilter ref="A1:A2" xr:uid="{53A03A9D-5FC5-4B60-9155-E5D60C35704A}"/>
  <tableColumns count="1">
    <tableColumn id="1" xr3:uid="{3486CEB8-61E7-4C6F-B91D-0D22E5B9451B}" uniqueName="1" name="ExternalData_1: Getting Data ...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7B9B1-BD96-46C3-A5C7-08729A573F62}">
  <dimension ref="A1:A19"/>
  <sheetViews>
    <sheetView tabSelected="1" workbookViewId="0"/>
  </sheetViews>
  <sheetFormatPr defaultRowHeight="15" x14ac:dyDescent="0.25"/>
  <cols>
    <col min="1" max="1" width="120.7109375" style="3" customWidth="1"/>
  </cols>
  <sheetData>
    <row r="1" spans="1:1" ht="21" x14ac:dyDescent="0.35">
      <c r="A1" s="2" t="s">
        <v>0</v>
      </c>
    </row>
    <row r="2" spans="1:1" ht="30" x14ac:dyDescent="0.25">
      <c r="A2" s="3" t="s">
        <v>1</v>
      </c>
    </row>
    <row r="4" spans="1:1" x14ac:dyDescent="0.25">
      <c r="A4" s="4" t="s">
        <v>2</v>
      </c>
    </row>
    <row r="5" spans="1:1" x14ac:dyDescent="0.25">
      <c r="A5" s="3" t="s">
        <v>3</v>
      </c>
    </row>
    <row r="6" spans="1:1" ht="30" x14ac:dyDescent="0.25">
      <c r="A6" s="3" t="s">
        <v>4</v>
      </c>
    </row>
    <row r="7" spans="1:1" x14ac:dyDescent="0.25">
      <c r="A7" s="3" t="s">
        <v>5</v>
      </c>
    </row>
    <row r="8" spans="1:1" ht="30" x14ac:dyDescent="0.25">
      <c r="A8" s="3" t="s">
        <v>6</v>
      </c>
    </row>
    <row r="10" spans="1:1" x14ac:dyDescent="0.25">
      <c r="A10" s="4" t="s">
        <v>7</v>
      </c>
    </row>
    <row r="11" spans="1:1" ht="30" x14ac:dyDescent="0.25">
      <c r="A11" s="3" t="s">
        <v>8</v>
      </c>
    </row>
    <row r="13" spans="1:1" x14ac:dyDescent="0.25">
      <c r="A13" s="3" t="s">
        <v>9</v>
      </c>
    </row>
    <row r="14" spans="1:1" ht="30" x14ac:dyDescent="0.25">
      <c r="A14" s="3" t="s">
        <v>10</v>
      </c>
    </row>
    <row r="15" spans="1:1" ht="30" x14ac:dyDescent="0.25">
      <c r="A15" s="3" t="s">
        <v>11</v>
      </c>
    </row>
    <row r="16" spans="1:1" x14ac:dyDescent="0.25">
      <c r="A16" s="3" t="s">
        <v>12</v>
      </c>
    </row>
    <row r="18" spans="1:1" ht="30" x14ac:dyDescent="0.25">
      <c r="A18" s="3" t="s">
        <v>13</v>
      </c>
    </row>
    <row r="19" spans="1:1" x14ac:dyDescent="0.25">
      <c r="A1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22264-21CD-4FC3-8808-39F70B764F4E}">
  <dimension ref="A1:J6"/>
  <sheetViews>
    <sheetView workbookViewId="0"/>
  </sheetViews>
  <sheetFormatPr defaultRowHeight="15" x14ac:dyDescent="0.25"/>
  <cols>
    <col min="1" max="1" width="13.140625" bestFit="1" customWidth="1"/>
    <col min="2" max="2" width="12.7109375" customWidth="1"/>
    <col min="3" max="3" width="12.28515625" bestFit="1" customWidth="1"/>
    <col min="4" max="5" width="12.7109375" customWidth="1"/>
    <col min="6" max="6" width="18.7109375" customWidth="1"/>
    <col min="7" max="7" width="17.7109375" bestFit="1" customWidth="1"/>
    <col min="8" max="8" width="21.42578125" bestFit="1" customWidth="1"/>
  </cols>
  <sheetData>
    <row r="1" spans="1:10" x14ac:dyDescent="0.25">
      <c r="A1" s="1" t="s">
        <v>15</v>
      </c>
      <c r="B1" s="5">
        <v>1000</v>
      </c>
      <c r="D1" s="1" t="s">
        <v>16</v>
      </c>
      <c r="E1" s="5" t="str">
        <f>IFERROR(SUM(INDEX(Stakes!$A:$H,0,MATCH("Stake",Stakes!$1:$1,0))),"")</f>
        <v/>
      </c>
      <c r="F1" s="1" t="s">
        <v>17</v>
      </c>
      <c r="G1" s="6" t="str">
        <f>IFERROR(E1/Bankroll,"")</f>
        <v/>
      </c>
    </row>
    <row r="2" spans="1:10" x14ac:dyDescent="0.25">
      <c r="A2" s="7" t="s">
        <v>18</v>
      </c>
    </row>
    <row r="3" spans="1:10" x14ac:dyDescent="0.2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  <c r="H3" t="s">
        <v>26</v>
      </c>
      <c r="J3" t="s">
        <v>37</v>
      </c>
    </row>
    <row r="4" spans="1:10" x14ac:dyDescent="0.25">
      <c r="A4" t="s">
        <v>27</v>
      </c>
      <c r="B4" t="s">
        <v>28</v>
      </c>
      <c r="C4" t="s">
        <v>29</v>
      </c>
      <c r="D4" t="s">
        <v>30</v>
      </c>
      <c r="F4">
        <v>-145</v>
      </c>
      <c r="G4">
        <v>125</v>
      </c>
      <c r="H4" t="s">
        <v>31</v>
      </c>
      <c r="J4" t="s">
        <v>38</v>
      </c>
    </row>
    <row r="5" spans="1:10" x14ac:dyDescent="0.25">
      <c r="A5" t="s">
        <v>27</v>
      </c>
      <c r="B5" t="s">
        <v>32</v>
      </c>
      <c r="C5" t="s">
        <v>33</v>
      </c>
      <c r="D5" t="s">
        <v>30</v>
      </c>
      <c r="F5">
        <v>120</v>
      </c>
      <c r="G5">
        <v>-140</v>
      </c>
      <c r="H5" t="s">
        <v>31</v>
      </c>
      <c r="J5" t="s">
        <v>39</v>
      </c>
    </row>
    <row r="6" spans="1:10" x14ac:dyDescent="0.25">
      <c r="A6" t="s">
        <v>27</v>
      </c>
      <c r="B6" t="s">
        <v>34</v>
      </c>
      <c r="C6" t="s">
        <v>35</v>
      </c>
      <c r="D6" t="s">
        <v>30</v>
      </c>
      <c r="F6">
        <v>135</v>
      </c>
      <c r="G6">
        <v>-155</v>
      </c>
      <c r="H6" t="s">
        <v>36</v>
      </c>
      <c r="J6" t="s">
        <v>40</v>
      </c>
    </row>
  </sheetData>
  <dataValidations count="3">
    <dataValidation type="list" errorStyle="warning" allowBlank="1" showInputMessage="1" showErrorMessage="1" sqref="A4:A6" xr:uid="{0F26BD03-5562-4294-A866-50AF3AC1FA62}">
      <formula1>"baseball_mlb,basketball_nba,basketball_ncaab,americanfootball_nfl,americanfootball_ncaaf,icehockey_nhl"</formula1>
    </dataValidation>
    <dataValidation type="list" allowBlank="1" showInputMessage="1" showErrorMessage="1" sqref="D4:D6" xr:uid="{5330DEB2-E7F9-43AF-9E03-981D067ECB9E}">
      <formula1>"Moneyline,Spread,Over,Under"</formula1>
    </dataValidation>
    <dataValidation type="list" allowBlank="1" showInputMessage="1" showErrorMessage="1" sqref="H4:H6" xr:uid="{6C588FD1-C318-4D10-BE85-587184ED829A}">
      <formula1>"Strong edge,Moderate edge,Small edge,No edge (market price)"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27E37-732D-4B55-8D82-FB24E722B7DC}">
  <dimension ref="A1"/>
  <sheetViews>
    <sheetView workbookViewId="0"/>
  </sheetViews>
  <sheetFormatPr defaultRowHeight="15" x14ac:dyDescent="0.25"/>
  <cols>
    <col min="1" max="1" width="31.7109375" bestFit="1" customWidth="1"/>
  </cols>
  <sheetData>
    <row r="1" spans="1:1" x14ac:dyDescent="0.25">
      <c r="A1" t="s">
        <v>44</v>
      </c>
    </row>
  </sheetData>
  <conditionalFormatting sqref="D2:D1000">
    <cfRule type="expression" dxfId="2" priority="1" stopIfTrue="1">
      <formula>TRUE</formula>
    </cfRule>
  </conditionalFormatting>
  <conditionalFormatting sqref="E2:F1000">
    <cfRule type="expression" dxfId="1" priority="2" stopIfTrue="1">
      <formula>TRUE</formula>
    </cfRule>
  </conditionalFormatting>
  <conditionalFormatting sqref="G2:G1000">
    <cfRule type="expression" dxfId="0" priority="3" stopIfTrue="1">
      <formula>TRUE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3B0B8-DB0E-4E6D-B2D2-B94AE590AD9B}">
  <dimension ref="A1:B3"/>
  <sheetViews>
    <sheetView workbookViewId="0"/>
  </sheetViews>
  <sheetFormatPr defaultRowHeight="15" x14ac:dyDescent="0.25"/>
  <cols>
    <col min="2" max="2" width="60.7109375" customWidth="1"/>
  </cols>
  <sheetData>
    <row r="1" spans="1:2" x14ac:dyDescent="0.25">
      <c r="A1" s="1" t="s">
        <v>41</v>
      </c>
      <c r="B1" t="s">
        <v>42</v>
      </c>
    </row>
    <row r="3" spans="1:2" x14ac:dyDescent="0.25">
      <c r="A3" t="s">
        <v>43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05D5E36-6DA8-4569-8C42-3F4C28E08B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Start here</vt:lpstr>
      <vt:lpstr>Slate</vt:lpstr>
      <vt:lpstr>Stakes</vt:lpstr>
      <vt:lpstr>Settings</vt:lpstr>
      <vt:lpstr>Bankroll</vt:lpstr>
      <vt:lpstr>KeyFile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2026-10-27T14:38:15Z</dcterms:created>
  <dcterms:modified xsi:type="dcterms:W3CDTF">2026-10-27T14:38:19Z</dcterms:modified>
</cp:coreProperties>
</file>