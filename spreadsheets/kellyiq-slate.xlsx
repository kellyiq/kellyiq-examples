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defaultThemeVersion="202300"/>
  <xr:revisionPtr revIDLastSave="0" documentId="8_{87363DBC-47FB-4292-8FE1-423FA9728673}" xr6:coauthVersionLast="47" xr6:coauthVersionMax="47" xr10:uidLastSave="{00000000-0000-0000-0000-000000000000}"/>
  <bookViews>
    <workbookView xWindow="-120" yWindow="-120" windowWidth="29040" windowHeight="15720" xr2:uid="{2B1C0339-9877-47B0-A9C3-D196D73D168D}"/>
  </bookViews>
  <sheets>
    <sheet name="Start here" sheetId="1" r:id="rId1"/>
    <sheet name="Slate" sheetId="2" r:id="rId2"/>
    <sheet name="Results" sheetId="3" r:id="rId3"/>
    <sheet name="Settings" sheetId="4" r:id="rId4"/>
  </sheets>
  <definedNames>
    <definedName name="Bankroll">Slate!$B$1</definedName>
    <definedName name="ExternalData_1" localSheetId="2" hidden="1">'Results'!$A$8:$A$9</definedName>
    <definedName name="KeyFile">Settings!$B$1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" i="3" l="1"/>
  <c r="E4" i="3"/>
  <c r="B7" i="4" s="1"/>
  <c r="E3" i="3"/>
  <c r="B6" i="4" s="1"/>
  <c r="E2" i="3"/>
  <c r="B6" i="3"/>
  <c r="B5" i="3"/>
  <c r="B4" i="3"/>
  <c r="B3" i="3"/>
  <c r="B2" i="3"/>
  <c r="B5" i="4"/>
  <c r="D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A7799F-07BC-4254-A73D-BE3E283F4452}" keepAlive="1" name="Connection" type="5" refreshedVersion="0" saveData="1">
    <dbPr connection="Provider=Microsoft.Mashup.OleDb.1;Data Source=$Workbook$;Location=Results;Extended Properties=&quot;&quot;" command="SELECT * FROM [Results]"/>
  </connection>
</connections>
</file>

<file path=xl/sharedStrings.xml><?xml version="1.0" encoding="utf-8"?>
<sst xmlns="http://schemas.openxmlformats.org/spreadsheetml/2006/main" count="62" uniqueCount="53">
  <si>
    <t>KellyIQ: size your slate in Excel</t>
  </si>
  <si>
    <t>Enter your bankroll and your bets on the Slate sheet, then press Ctrl+Alt+F5 (Data &gt; Refresh All). KellyIQ returns a stake for every bet on the Results sheet, sized across the whole slate, with a summary and your remaining optimizes.</t>
  </si>
  <si>
    <t>One-time setup</t>
  </si>
  <si>
    <t>1. Create an API key in the KellyIQ app: Settings &gt; API (every plan, Free included). https://app.kellyiq.com/settings</t>
  </si>
  <si>
    <t>2. Save the key in a plain text file in your own user folder, for example C:\Users\YOUR-NAME\kellyiq-key.txt. Keep it out of shared or synced folders.</t>
  </si>
  <si>
    <t>3. On the Settings sheet, enter that file's full path.</t>
  </si>
  <si>
    <t>4. If Excel shows a yellow bar, click Enable Content. The first time, Excel may ask how to connect to api.kellyiq.com: choose Anonymous and Connect (your key is sent from the file). If it ever asks about any other address, click Cancel.</t>
  </si>
  <si>
    <t>Each time</t>
  </si>
  <si>
    <t>Fill in the Slate sheet: one row per bet, with both sides' prices. Then press Ctrl+Alt+F5 (Data &gt; Refresh All) and open the Results sheet. Each run uses one optimize from your daily allowance. Free sizes up to 3 bets per slate, Bettor 12, Sharp and Pro 50.</t>
  </si>
  <si>
    <t>Your key is never stored in this workbook, so sharing your copy doesn't share your key. Never paste the key into a cell.</t>
  </si>
  <si>
    <t>Only use a workbook downloaded from the KellyIQ examples repository (github.com/kellyiq/kellyiq-examples). A workbook from someone else can contain a changed query that sends your key elsewhere.</t>
  </si>
  <si>
    <t>If refreshing says 'The credentials provided for the Web source are invalid', the key in your file is wrong or was regenerated: create a new one in the app and save it in the file.</t>
  </si>
  <si>
    <t>Works in Excel for Windows (Microsoft 365, or Excel 2021 or later). Excel for Mac and Excel for the web are not supported.</t>
  </si>
  <si>
    <t>KellyIQ sizes the bets you choose. It does not choose bets or predict outcomes, and its results are calculations, not betting advice. 21+, where legal.</t>
  </si>
  <si>
    <t>Guide: https://www.kellyiq.com/developers/excel</t>
  </si>
  <si>
    <t>Bankroll</t>
  </si>
  <si>
    <t>To size this slate: press Ctrl+Alt+F5 (or Data &gt; Refresh All). Each run uses one optimize.</t>
  </si>
  <si>
    <t>Sport</t>
  </si>
  <si>
    <t>Team</t>
  </si>
  <si>
    <t>Opponent</t>
  </si>
  <si>
    <t>Bet</t>
  </si>
  <si>
    <t>Line</t>
  </si>
  <si>
    <t>Odds</t>
  </si>
  <si>
    <t>Other side odds</t>
  </si>
  <si>
    <t>Your view</t>
  </si>
  <si>
    <t>MLB</t>
  </si>
  <si>
    <t>Dodgers</t>
  </si>
  <si>
    <t>Padres</t>
  </si>
  <si>
    <t>Moneyline</t>
  </si>
  <si>
    <t>Moderate edge</t>
  </si>
  <si>
    <t>Cubs</t>
  </si>
  <si>
    <t>Cardinals</t>
  </si>
  <si>
    <t>Mets</t>
  </si>
  <si>
    <t>Braves</t>
  </si>
  <si>
    <t>No edge (market price)</t>
  </si>
  <si>
    <t>Odds: American odds for your side, such as -145 or +120. Other side odds: the opposite side of the same market, so the bookmaker's margin can be removed.</t>
  </si>
  <si>
    <t>Bet: Moneyline, Spread, Over or Under. Line: the spread from your team's side (-1.5 means your team must win by 2 or more), or the total. Leave it empty for moneylines.</t>
  </si>
  <si>
    <t>Your view: how much more likely you think your side is to win than the fair price says. Strong edge needs the Bettor plan or higher.</t>
  </si>
  <si>
    <t>Sport: MLB, NBA, NCAAB, NFL, NCAAF or NHL, while in season. Add rows by typing under the table. Free sizes up to 3 bets per slate, Bettor 12, Sharp and Pro 50.</t>
  </si>
  <si>
    <t>Key file</t>
  </si>
  <si>
    <t>C:\Users\YOUR-NAME\kellyiq-key.txt</t>
  </si>
  <si>
    <t>The full path of a text file that holds only your API key. The key itself never goes in this workbook.</t>
  </si>
  <si>
    <t>Plan</t>
  </si>
  <si>
    <t>Optimizes left today</t>
  </si>
  <si>
    <t>Resets</t>
  </si>
  <si>
    <t>Updated each time you size a slate.</t>
  </si>
  <si>
    <t>Your stakes appear here after Ctrl+Alt+F5 on the Slate sheet.</t>
  </si>
  <si>
    <t>This slate</t>
  </si>
  <si>
    <t>Your account</t>
  </si>
  <si>
    <t>Total stake</t>
  </si>
  <si>
    <t>Share of bankroll</t>
  </si>
  <si>
    <t>Expected profit</t>
  </si>
  <si>
    <t>Bets with a stake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</si>
</sst>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dddd\ h:mm\ AM/PM"/>
    <numFmt numFmtId="166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/>
    <xf numFmtId="0" fontId="3" fillId="0" borderId="0" xfId="1"/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/>
    <xf numFmtId="16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3">
    <dxf>
      <numFmt numFmtId="167" formatCode="0.000"/>
    </dxf>
    <dxf>
      <numFmt numFmtId="166" formatCode="0.0%"/>
    </dxf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growShrinkType="overwriteClear" adjustColumnWidth="0" intermediate="1" connectionId="1" xr16:uid="{AA03D310-0262-4897-AD4F-D9CB5858F25D}" autoFormatId="16" applyNumberFormats="0" applyBorderFormats="0" applyFontFormats="1" applyPatternFormats="1" applyAlignmentFormats="0" applyWidthHeightFormats="0">
  <queryTableRefresh nextId="2">
    <queryTableFields count="1">
      <queryTableField id="1" name="ExternalData_1: Getting Data ...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CEEA3D-413E-4D1F-91AA-CF2AF4C1EEDC}" name="Slate" displayName="Slate" ref="A3:H6" totalsRowShown="0">
  <autoFilter ref="A3:H6" xr:uid="{E0CEEA3D-413E-4D1F-91AA-CF2AF4C1EEDC}"/>
  <tableColumns count="8">
    <tableColumn id="1" xr3:uid="{7C1BB478-C7D6-4E19-9D10-5950B356FC95}" name="Sport"/>
    <tableColumn id="2" xr3:uid="{FE629279-A512-48E3-8917-9551E1E9625C}" name="Team"/>
    <tableColumn id="3" xr3:uid="{2633E348-D796-418F-B118-D30556818B23}" name="Opponent"/>
    <tableColumn id="4" xr3:uid="{FA9DE4AF-F068-495D-8306-4F4AED951056}" name="Bet"/>
    <tableColumn id="5" xr3:uid="{E416670E-8696-4570-AE31-CF7551677448}" name="Line"/>
    <tableColumn id="6" xr3:uid="{54C0764A-E9F7-4F2C-9B4A-5BF152B2C82C}" name="Odds"/>
    <tableColumn id="7" xr3:uid="{B773601B-9C49-4730-A7A9-7F159A4747CC}" name="Other side odds"/>
    <tableColumn id="8" xr3:uid="{F9BB2499-225F-46CD-B9CD-E73F053C7DBF}" name="Your vie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F28A7B-265A-45B0-97D5-7F6BE6DB854E}" name="Results" displayName="Results" ref="A8:A9" tableType="queryTable" insertRow="1" totalsRowShown="0">
  <autoFilter ref="A8:A9" xr:uid="{13F28A7B-265A-45B0-97D5-7F6BE6DB854E}"/>
  <tableColumns count="1">
    <tableColumn id="1" xr3:uid="{EE706793-F1A2-4D41-8075-6A00A76E43F3}" uniqueName="1" name="Your stakes appear here after Ctrl+Alt+F5 on the Slate sheet.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6085-433D-438C-88CD-E9E7CF443521}">
  <dimension ref="A1:A19"/>
  <sheetViews>
    <sheetView tabSelected="1" workbookViewId="0"/>
  </sheetViews>
  <sheetFormatPr defaultRowHeight="15" x14ac:dyDescent="0.25"/>
  <cols>
    <col min="1" max="1" width="120.7109375" style="3" customWidth="1"/>
  </cols>
  <sheetData>
    <row r="1" spans="1:1" ht="21" x14ac:dyDescent="0.35">
      <c r="A1" s="2" t="s">
        <v>0</v>
      </c>
    </row>
    <row r="2" spans="1:1" ht="30" x14ac:dyDescent="0.25">
      <c r="A2" s="3" t="s">
        <v>1</v>
      </c>
    </row>
    <row r="4" spans="1:1" x14ac:dyDescent="0.25">
      <c r="A4" s="4" t="s">
        <v>2</v>
      </c>
    </row>
    <row r="5" spans="1:1" x14ac:dyDescent="0.25">
      <c r="A5" s="3" t="s">
        <v>3</v>
      </c>
    </row>
    <row r="6" spans="1:1" ht="30" x14ac:dyDescent="0.25">
      <c r="A6" s="3" t="s">
        <v>4</v>
      </c>
    </row>
    <row r="7" spans="1:1" x14ac:dyDescent="0.25">
      <c r="A7" s="3" t="s">
        <v>5</v>
      </c>
    </row>
    <row r="8" spans="1:1" ht="30" x14ac:dyDescent="0.25">
      <c r="A8" s="3" t="s">
        <v>6</v>
      </c>
    </row>
    <row r="10" spans="1:1" x14ac:dyDescent="0.25">
      <c r="A10" s="4" t="s">
        <v>7</v>
      </c>
    </row>
    <row r="11" spans="1:1" ht="30" x14ac:dyDescent="0.25">
      <c r="A11" s="3" t="s">
        <v>8</v>
      </c>
    </row>
    <row r="13" spans="1:1" x14ac:dyDescent="0.25">
      <c r="A13" s="3" t="s">
        <v>9</v>
      </c>
    </row>
    <row r="14" spans="1:1" ht="30" x14ac:dyDescent="0.25">
      <c r="A14" s="3" t="s">
        <v>10</v>
      </c>
    </row>
    <row r="15" spans="1:1" ht="30" x14ac:dyDescent="0.25">
      <c r="A15" s="3" t="s">
        <v>11</v>
      </c>
    </row>
    <row r="16" spans="1:1" x14ac:dyDescent="0.25">
      <c r="A16" s="3" t="s">
        <v>12</v>
      </c>
    </row>
    <row r="18" spans="1:1" ht="30" x14ac:dyDescent="0.25">
      <c r="A18" s="3" t="s">
        <v>13</v>
      </c>
    </row>
    <row r="19" spans="1:1" x14ac:dyDescent="0.25">
      <c r="A1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20D3B-C126-4CB0-815F-9EA5BA369056}">
  <dimension ref="A1:J6"/>
  <sheetViews>
    <sheetView workbookViewId="0"/>
  </sheetViews>
  <sheetFormatPr defaultRowHeight="15" x14ac:dyDescent="0.25"/>
  <cols>
    <col min="1" max="1" width="8.140625" bestFit="1" customWidth="1"/>
    <col min="2" max="2" width="12.7109375" customWidth="1"/>
    <col min="3" max="3" width="12.28515625" bestFit="1" customWidth="1"/>
    <col min="4" max="4" width="10" bestFit="1" customWidth="1"/>
    <col min="5" max="5" width="7.140625" bestFit="1" customWidth="1"/>
    <col min="6" max="6" width="8" bestFit="1" customWidth="1"/>
    <col min="7" max="7" width="17.7109375" bestFit="1" customWidth="1"/>
    <col min="8" max="8" width="21.42578125" bestFit="1" customWidth="1"/>
  </cols>
  <sheetData>
    <row r="1" spans="1:10" x14ac:dyDescent="0.25">
      <c r="A1" s="1" t="s">
        <v>15</v>
      </c>
      <c r="B1" s="5">
        <v>1000</v>
      </c>
      <c r="D1" s="6" t="str">
        <f>HYPERLINK("#Results!A1","Go to results")</f>
        <v>Go to results</v>
      </c>
    </row>
    <row r="2" spans="1:10" x14ac:dyDescent="0.25">
      <c r="A2" s="7" t="s">
        <v>16</v>
      </c>
      <c r="B2" s="8"/>
      <c r="C2" s="8"/>
      <c r="D2" s="8"/>
      <c r="E2" s="8"/>
      <c r="F2" s="8"/>
      <c r="G2" s="8"/>
      <c r="H2" s="8"/>
    </row>
    <row r="3" spans="1:10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J3" t="s">
        <v>35</v>
      </c>
    </row>
    <row r="4" spans="1:10" x14ac:dyDescent="0.25">
      <c r="A4" t="s">
        <v>25</v>
      </c>
      <c r="B4" t="s">
        <v>26</v>
      </c>
      <c r="C4" t="s">
        <v>27</v>
      </c>
      <c r="D4" t="s">
        <v>28</v>
      </c>
      <c r="F4">
        <v>-145</v>
      </c>
      <c r="G4">
        <v>125</v>
      </c>
      <c r="H4" t="s">
        <v>29</v>
      </c>
      <c r="J4" t="s">
        <v>36</v>
      </c>
    </row>
    <row r="5" spans="1:10" x14ac:dyDescent="0.25">
      <c r="A5" t="s">
        <v>25</v>
      </c>
      <c r="B5" t="s">
        <v>30</v>
      </c>
      <c r="C5" t="s">
        <v>31</v>
      </c>
      <c r="D5" t="s">
        <v>28</v>
      </c>
      <c r="F5">
        <v>120</v>
      </c>
      <c r="G5">
        <v>-140</v>
      </c>
      <c r="H5" t="s">
        <v>29</v>
      </c>
      <c r="J5" t="s">
        <v>37</v>
      </c>
    </row>
    <row r="6" spans="1:10" x14ac:dyDescent="0.25">
      <c r="A6" t="s">
        <v>25</v>
      </c>
      <c r="B6" t="s">
        <v>32</v>
      </c>
      <c r="C6" t="s">
        <v>33</v>
      </c>
      <c r="D6" t="s">
        <v>28</v>
      </c>
      <c r="F6">
        <v>135</v>
      </c>
      <c r="G6">
        <v>-155</v>
      </c>
      <c r="H6" t="s">
        <v>34</v>
      </c>
      <c r="J6" t="s">
        <v>38</v>
      </c>
    </row>
  </sheetData>
  <dataValidations count="3">
    <dataValidation type="list" errorStyle="warning" allowBlank="1" showInputMessage="1" showErrorMessage="1" sqref="A4:A6" xr:uid="{CB8EF773-5285-4942-A887-116D0EB76745}">
      <formula1>"MLB,NBA,NCAAB,NFL,NCAAF,NHL"</formula1>
    </dataValidation>
    <dataValidation type="list" allowBlank="1" showInputMessage="1" showErrorMessage="1" sqref="D4:D6" xr:uid="{EA790A48-8BDF-45CC-848B-257306C3178D}">
      <formula1>"Moneyline,Spread,Over,Under"</formula1>
    </dataValidation>
    <dataValidation type="list" allowBlank="1" showInputMessage="1" showErrorMessage="1" sqref="H4:H6" xr:uid="{EC4FBF9B-407A-4A42-BBFC-8EA3EB38B007}">
      <formula1>"Strong edge,Moderate edge,Small edge,No edge (market price)"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15F6-819B-401B-AB69-A8B7D830D1DB}">
  <dimension ref="A1:G8"/>
  <sheetViews>
    <sheetView workbookViewId="0"/>
  </sheetViews>
  <sheetFormatPr defaultRowHeight="15" x14ac:dyDescent="0.25"/>
  <cols>
    <col min="1" max="1" width="20.7109375" customWidth="1"/>
    <col min="2" max="2" width="13.7109375" customWidth="1"/>
    <col min="3" max="3" width="8.7109375" customWidth="1"/>
    <col min="4" max="4" width="20.7109375" customWidth="1"/>
    <col min="5" max="5" width="19.7109375" customWidth="1"/>
    <col min="6" max="6" width="16.7109375" customWidth="1"/>
    <col min="7" max="7" width="21.7109375" customWidth="1"/>
    <col min="8" max="8" width="16.7109375" customWidth="1"/>
    <col min="9" max="11" width="0" hidden="1" customWidth="1"/>
  </cols>
  <sheetData>
    <row r="1" spans="1:7" x14ac:dyDescent="0.25">
      <c r="A1" s="1" t="s">
        <v>47</v>
      </c>
      <c r="D1" s="1" t="s">
        <v>48</v>
      </c>
      <c r="G1" s="6" t="str">
        <f>HYPERLINK("#Slate!A1","Back to slate")</f>
        <v>Back to slate</v>
      </c>
    </row>
    <row r="2" spans="1:7" x14ac:dyDescent="0.25">
      <c r="A2" t="s">
        <v>15</v>
      </c>
      <c r="B2" s="12">
        <f>Bankroll</f>
        <v>1000</v>
      </c>
      <c r="D2" t="s">
        <v>42</v>
      </c>
      <c r="E2" s="15" t="str">
        <f>IFERROR(INDEX(INDEX($A$9:$K$1000,0,MATCH("Plan",$A$8:$K$8,0)),1)&amp;"","")</f>
        <v/>
      </c>
    </row>
    <row r="3" spans="1:7" x14ac:dyDescent="0.25">
      <c r="A3" t="s">
        <v>49</v>
      </c>
      <c r="B3" s="12" t="str">
        <f>IFERROR(SUM(INDEX($A$9:$K$1000,0,MATCH("Stake",$A$8:$K$8,0))),"")</f>
        <v/>
      </c>
      <c r="D3" t="s">
        <v>43</v>
      </c>
      <c r="E3" s="14" t="str">
        <f>IFERROR(INDEX(INDEX($A$9:$K$1000,0,MATCH("Optimizes left today",$A$8:$K$8,0)),1)+0,"")</f>
        <v/>
      </c>
    </row>
    <row r="4" spans="1:7" x14ac:dyDescent="0.25">
      <c r="A4" t="s">
        <v>50</v>
      </c>
      <c r="B4" s="13" t="str">
        <f>IFERROR(B3/B2,"")</f>
        <v/>
      </c>
      <c r="D4" t="s">
        <v>44</v>
      </c>
      <c r="E4" s="16" t="str">
        <f>IFERROR(INDEX(INDEX($A$9:$K$1000,0,MATCH("Resets at",$A$8:$K$8,0)),1)+0,"")</f>
        <v/>
      </c>
    </row>
    <row r="5" spans="1:7" x14ac:dyDescent="0.25">
      <c r="A5" t="s">
        <v>51</v>
      </c>
      <c r="B5" s="12" t="str">
        <f>IFERROR(SUMPRODUCT(INDEX($A$9:$K$1000,0,MATCH("Stake",$A$8:$K$8,0)),INDEX($A$9:$K$1000,0,MATCH("Expected value per $1",$A$8:$K$8,0))),"")</f>
        <v/>
      </c>
    </row>
    <row r="6" spans="1:7" x14ac:dyDescent="0.25">
      <c r="A6" t="s">
        <v>52</v>
      </c>
      <c r="B6" s="14" t="str">
        <f>IFERROR(COUNTIF(INDEX($A$9:$K$1000,0,MATCH("Stake",$A$8:$K$8,0)),"&gt;0"),"")</f>
        <v/>
      </c>
    </row>
    <row r="8" spans="1:7" x14ac:dyDescent="0.25">
      <c r="A8" t="s">
        <v>46</v>
      </c>
    </row>
  </sheetData>
  <conditionalFormatting sqref="D9:D1000">
    <cfRule type="expression" dxfId="2" priority="1" stopIfTrue="1">
      <formula>TRUE</formula>
    </cfRule>
  </conditionalFormatting>
  <conditionalFormatting sqref="E9:F1000">
    <cfRule type="expression" dxfId="1" priority="2" stopIfTrue="1">
      <formula>TRUE</formula>
    </cfRule>
  </conditionalFormatting>
  <conditionalFormatting sqref="G9:G1000">
    <cfRule type="expression" dxfId="0" priority="3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480C-CBF7-4D83-9F72-94E17316FE9D}">
  <dimension ref="A1:B8"/>
  <sheetViews>
    <sheetView workbookViewId="0"/>
  </sheetViews>
  <sheetFormatPr defaultRowHeight="15" x14ac:dyDescent="0.25"/>
  <cols>
    <col min="1" max="1" width="22.7109375" customWidth="1"/>
    <col min="2" max="2" width="60.7109375" customWidth="1"/>
  </cols>
  <sheetData>
    <row r="1" spans="1:2" x14ac:dyDescent="0.25">
      <c r="A1" s="1" t="s">
        <v>39</v>
      </c>
      <c r="B1" t="s">
        <v>40</v>
      </c>
    </row>
    <row r="3" spans="1:2" x14ac:dyDescent="0.25">
      <c r="A3" t="s">
        <v>41</v>
      </c>
    </row>
    <row r="5" spans="1:2" x14ac:dyDescent="0.25">
      <c r="A5" t="s">
        <v>42</v>
      </c>
      <c r="B5" s="9" t="str">
        <f>'Results'!E2</f>
        <v/>
      </c>
    </row>
    <row r="6" spans="1:2" x14ac:dyDescent="0.25">
      <c r="A6" t="s">
        <v>43</v>
      </c>
      <c r="B6" s="9" t="str">
        <f>'Results'!E3</f>
        <v/>
      </c>
    </row>
    <row r="7" spans="1:2" x14ac:dyDescent="0.25">
      <c r="A7" t="s">
        <v>44</v>
      </c>
      <c r="B7" s="10" t="str">
        <f>'Results'!E4</f>
        <v/>
      </c>
    </row>
    <row r="8" spans="1:2" x14ac:dyDescent="0.25">
      <c r="A8" s="1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063C35-2D7C-47DC-B815-784EFE8DF6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Start here</vt:lpstr>
      <vt:lpstr>Slate</vt:lpstr>
      <vt:lpstr>Results</vt:lpstr>
      <vt:lpstr>Settings</vt:lpstr>
      <vt:lpstr>Bankroll</vt:lpstr>
      <vt:lpstr>KeyFile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2026-10-27T15:26:42Z</dcterms:created>
  <dcterms:modified xsi:type="dcterms:W3CDTF">2026-10-27T15:26:46Z</dcterms:modified>
</cp:coreProperties>
</file>